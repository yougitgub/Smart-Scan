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8735" windowHeight="7044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<sst xmlns="http://schemas.openxmlformats.org/spreadsheetml/2006/main" count="35" uniqueCount="27">
  <si>
    <t>Name</t>
  </si>
  <si>
    <t>Phone Number</t>
  </si>
  <si>
    <t>SATURDAY</t>
  </si>
  <si>
    <t>MONDAY</t>
  </si>
  <si>
    <t>THURESDAY</t>
  </si>
  <si>
    <t>WEDNESDAY</t>
  </si>
  <si>
    <t>TUESEDAY</t>
  </si>
  <si>
    <t>معدل الحضور الاسبوعي</t>
  </si>
  <si>
    <t>BILL</t>
  </si>
  <si>
    <t>2025-10-21 03:50:00 - Absent</t>
  </si>
  <si>
    <t>2025-10-21 04:50:00 - Absent</t>
  </si>
  <si>
    <t>ELON</t>
  </si>
  <si>
    <t>معدل الغياب الاسبوعي</t>
  </si>
  <si>
    <t>KHALED EISA</t>
  </si>
  <si>
    <t>2025-10-21 03:45:42 - Late</t>
  </si>
  <si>
    <t>2025-10-21 06:20:27 - Late</t>
  </si>
  <si>
    <t>STEVE</t>
  </si>
  <si>
    <t>معدل التأخير الاسبوعي</t>
  </si>
  <si>
    <t>YOUSEF AHMED</t>
  </si>
  <si>
    <t>YOUSEF SAID</t>
  </si>
  <si>
    <t>2025-10-21 02:58:33 - Late</t>
  </si>
  <si>
    <t>2025-10-21 03:37:07 - Late</t>
  </si>
  <si>
    <t>2025-10-21 03:38:28 - Late</t>
  </si>
  <si>
    <t>2025-10-21 03:38:58 - Late</t>
  </si>
  <si>
    <t>2025-10-21 03:39:29 - Present</t>
  </si>
  <si>
    <t>2025-10-21 03:45:37 - Late</t>
  </si>
  <si>
    <t>2025-10-21 06:20:04 - Late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</si>
</sst>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%"/>
  </numFmts>
  <fonts count="23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>
      <alignment vertical="center"/>
    </xf>
    <xf numFmtId="44" fontId="0" fillId="0" borderId="0">
      <alignment vertical="center"/>
    </xf>
    <xf numFmtId="9" fontId="0" fillId="0" borderId="0"/>
    <xf numFmtId="177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4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5" borderId="4">
      <alignment vertical="center"/>
    </xf>
    <xf numFmtId="0" fontId="13" fillId="6" borderId="5">
      <alignment vertical="center"/>
    </xf>
    <xf numFmtId="0" fontId="14" fillId="6" borderId="4">
      <alignment vertical="center"/>
    </xf>
    <xf numFmtId="0" fontId="15" fillId="7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178" fontId="1" fillId="0" borderId="0" xfId="3" applyNumberFormat="1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tabSelected="1" topLeftCell="D1" workbookViewId="0">
      <selection activeCell="G6" sqref="C2:G6"/>
    </sheetView>
  </sheetViews>
  <sheetFormatPr defaultColWidth="9" defaultRowHeight="14.4"/>
  <cols>
    <col min="1" max="1" width="19.8518518518519" customWidth="1"/>
    <col min="2" max="2" width="43.8518518518519" customWidth="1"/>
    <col min="3" max="3" width="36.712962962963" customWidth="1"/>
    <col min="4" max="7" width="27" customWidth="1"/>
    <col min="8" max="8" width="28.712962962963" customWidth="1"/>
    <col min="10" max="12" width="27.6666666666667" customWidth="1"/>
    <col min="13" max="14" width="28.2222222222222" customWidth="1"/>
  </cols>
  <sheetData>
    <row r="1" ht="18.75" customHeight="1" spans="1:8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</row>
    <row r="2" ht="18.75" customHeight="1" spans="1:8">
      <c r="A2" s="3" t="s">
        <v>8</v>
      </c>
      <c r="B2">
        <v>1002560204</v>
      </c>
      <c r="C2" s="4" t="s">
        <v>9</v>
      </c>
      <c r="D2" t="s">
        <v>10</v>
      </c>
      <c r="H2" s="5" t="str">
        <f>TEXT((COUNTIF(C2:G7,"*Present")/COUNTA(C2:G7))*100,"0.0")&amp;"%"</f>
        <v>6.3%</v>
      </c>
    </row>
    <row r="3" ht="18.75" customHeight="1" spans="1:8">
      <c r="A3" s="3" t="s">
        <v>11</v>
      </c>
      <c r="B3">
        <v>1080849779</v>
      </c>
      <c r="C3" s="6" t="s">
        <v>9</v>
      </c>
      <c r="D3" s="7" t="s">
        <v>10</v>
      </c>
      <c r="E3" s="7"/>
      <c r="F3" s="7"/>
      <c r="G3" s="7"/>
      <c r="H3" s="2" t="s">
        <v>12</v>
      </c>
    </row>
    <row r="4" ht="18.75" customHeight="1" spans="1:8">
      <c r="A4" s="3" t="s">
        <v>13</v>
      </c>
      <c r="B4">
        <v>1080849779</v>
      </c>
      <c r="C4" s="6" t="s">
        <v>14</v>
      </c>
      <c r="D4" s="7" t="s">
        <v>10</v>
      </c>
      <c r="E4" s="7" t="s">
        <v>15</v>
      </c>
      <c r="F4" s="7"/>
      <c r="G4" s="7"/>
      <c r="H4" s="5" t="str">
        <f>TEXT((COUNTIF(C2:G7,"*Absent")/COUNTA(C2:G7))*100,"0.0")&amp;"%"</f>
        <v>56.3%</v>
      </c>
    </row>
    <row r="5" ht="18.75" customHeight="1" spans="1:8">
      <c r="A5" s="3" t="s">
        <v>16</v>
      </c>
      <c r="B5">
        <v>1080849779</v>
      </c>
      <c r="C5" s="6" t="s">
        <v>9</v>
      </c>
      <c r="D5" s="7" t="s">
        <v>10</v>
      </c>
      <c r="E5" s="7"/>
      <c r="F5" s="7"/>
      <c r="G5" s="7"/>
      <c r="H5" s="2" t="s">
        <v>17</v>
      </c>
    </row>
    <row r="6" ht="18.75" customHeight="1" spans="1:8">
      <c r="A6" s="3" t="s">
        <v>18</v>
      </c>
      <c r="B6">
        <v>1080849779</v>
      </c>
      <c r="C6" s="6" t="s">
        <v>9</v>
      </c>
      <c r="D6" s="7" t="s">
        <v>10</v>
      </c>
      <c r="E6" s="7"/>
      <c r="F6" s="7"/>
      <c r="G6" s="7"/>
      <c r="H6" s="5" t="str">
        <f>TEXT((COUNTIF(C2:G7,"*Late")/COUNTA(C2:G7))*100,"0.0")&amp;"%"</f>
        <v>37.5%</v>
      </c>
    </row>
    <row r="7" ht="18.75" customHeight="1" spans="1:10">
      <c r="A7" s="3" t="s">
        <v>19</v>
      </c>
      <c r="B7">
        <v>1080849779</v>
      </c>
      <c r="C7" s="6" t="s">
        <v>20</v>
      </c>
      <c r="D7" s="7" t="s">
        <v>21</v>
      </c>
      <c r="E7" s="7" t="s">
        <v>22</v>
      </c>
      <c r="F7" s="7" t="s">
        <v>23</v>
      </c>
      <c r="G7" s="7" t="s">
        <v>24</v>
      </c>
      <c r="H7" t="s">
        <v>25</v>
      </c>
      <c r="I7" t="s">
        <v>10</v>
      </c>
      <c r="J7" t="s">
        <v>26</v>
      </c>
    </row>
    <row r="13" ht="26.25" customHeight="1" spans="5:5">
      <c r="E13" s="8">
        <f>COUNTIF(C3:G3,"*Absent")</f>
        <v>2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</dc:creator>
  <cp:lastModifiedBy>COMPU EL7ATEM</cp:lastModifiedBy>
  <dcterms:created xsi:type="dcterms:W3CDTF">2015-06-05T18:17:00Z</dcterms:created>
  <dcterms:modified xsi:type="dcterms:W3CDTF">2025-10-22T11:28:30Z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FD0946ED90BE44B2920039992AC65C1C_12</vt:lpwstr>
  </property>
  <property fmtid="{D5CDD505-2E9C-101B-9397-08002B2CF9AE}" pid="3" name="KSOProductBuildVer">
    <vt:lpwstr>1033-12.2.0.23131</vt:lpwstr>
  </property>
</Properties>
</file>